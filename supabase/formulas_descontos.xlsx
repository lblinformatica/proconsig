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tral Consig\Desktop\Análise de Crédito\Projeto Borderô\"/>
    </mc:Choice>
  </mc:AlternateContent>
  <xr:revisionPtr revIDLastSave="0" documentId="8_{5566A413-95C2-4D90-9781-379A9D1200D3}" xr6:coauthVersionLast="47" xr6:coauthVersionMax="47" xr10:uidLastSave="{00000000-0000-0000-0000-000000000000}"/>
  <bookViews>
    <workbookView xWindow="-120" yWindow="-120" windowWidth="24240" windowHeight="13140"/>
  </bookViews>
  <sheets>
    <sheet name="rel_remessa_cob - 2026-04-17T20" sheetId="1" r:id="rId1"/>
  </sheets>
  <calcPr calcId="191029"/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  <c r="I3" i="1"/>
  <c r="I2" i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  <c r="D2" i="1"/>
  <c r="E2" i="1" s="1"/>
  <c r="F2" i="1" s="1"/>
  <c r="J10" i="1"/>
</calcChain>
</file>

<file path=xl/sharedStrings.xml><?xml version="1.0" encoding="utf-8"?>
<sst xmlns="http://schemas.openxmlformats.org/spreadsheetml/2006/main" count="70" uniqueCount="24">
  <si>
    <t>Operação</t>
  </si>
  <si>
    <t>Vencimento</t>
  </si>
  <si>
    <t>CPF</t>
  </si>
  <si>
    <t>Nome</t>
  </si>
  <si>
    <t>Valor</t>
  </si>
  <si>
    <t>Vendedor</t>
  </si>
  <si>
    <t>Conta de Cob.</t>
  </si>
  <si>
    <t>Fundo</t>
  </si>
  <si>
    <t>Convênio</t>
  </si>
  <si>
    <t>04/05/2026</t>
  </si>
  <si>
    <t>06567593806</t>
  </si>
  <si>
    <t>DENILSON GONÇALVES BONFIM</t>
  </si>
  <si>
    <t>THAMIRES</t>
  </si>
  <si>
    <t>007</t>
  </si>
  <si>
    <t xml:space="preserve">OVALE ASS EIRE      </t>
  </si>
  <si>
    <t>Central Itaú - Cob Ovale - Conta 007</t>
  </si>
  <si>
    <t>02/06/2026</t>
  </si>
  <si>
    <t>01/07/2026</t>
  </si>
  <si>
    <t>03/08/2026</t>
  </si>
  <si>
    <t>Dia</t>
  </si>
  <si>
    <t>Dias</t>
  </si>
  <si>
    <t>Percentual de desconto</t>
  </si>
  <si>
    <t>Valor do Desconto</t>
  </si>
  <si>
    <t>Valor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</si>
</sst>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0" fontId="0" fillId="0" borderId="1" xfId="0" applyNumberForma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F2" sqref="F2"/>
    </sheetView>
  </sheetViews>
  <sheetFormatPr defaultRowHeight="15" x14ac:dyDescent="0.25"/>
  <cols>
    <col min="2" max="3" width="12.5703125" customWidth="1"/>
    <col min="4" max="4" width="16.7109375" style="6" customWidth="1"/>
    <col min="5" max="5" width="26.140625" style="8" customWidth="1"/>
    <col min="6" max="6" width="26.140625" style="3" customWidth="1"/>
    <col min="7" max="7" width="14.5703125" customWidth="1"/>
    <col min="8" max="8" width="42.140625" style="4" customWidth="1"/>
    <col min="9" max="9" width="17.28515625" style="9" customWidth="1"/>
    <col min="10" max="10" width="9.140625" style="3"/>
    <col min="14" max="14" width="43.85546875" customWidth="1"/>
  </cols>
  <sheetData>
    <row r="1" spans="1:14" x14ac:dyDescent="0.25">
      <c r="A1" s="1" t="s">
        <v>0</v>
      </c>
      <c r="B1" s="1" t="s">
        <v>1</v>
      </c>
      <c r="C1" s="1" t="s">
        <v>19</v>
      </c>
      <c r="D1" s="5" t="s">
        <v>20</v>
      </c>
      <c r="E1" s="7" t="s">
        <v>21</v>
      </c>
      <c r="F1" s="2" t="s">
        <v>22</v>
      </c>
      <c r="G1" s="1" t="s">
        <v>2</v>
      </c>
      <c r="H1" s="1" t="s">
        <v>3</v>
      </c>
      <c r="I1" s="1" t="s">
        <v>23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s="17" customFormat="1" x14ac:dyDescent="0.25">
      <c r="A2" s="11">
        <v>12384</v>
      </c>
      <c r="B2" s="11" t="s">
        <v>9</v>
      </c>
      <c r="C2" s="12">
        <v>46129</v>
      </c>
      <c r="D2" s="13">
        <f>B2-C2</f>
        <v>17</v>
      </c>
      <c r="E2" s="14">
        <f>D2*0.22%</f>
        <v>3.7400000000000003E-2</v>
      </c>
      <c r="F2" s="15">
        <f>J2*E2</f>
        <v>5.1836400000000005</v>
      </c>
      <c r="G2" s="11" t="s">
        <v>10</v>
      </c>
      <c r="H2" s="16" t="s">
        <v>11</v>
      </c>
      <c r="I2" s="15">
        <f>J2-F2</f>
        <v>133.41636</v>
      </c>
      <c r="J2" s="15">
        <v>138.6</v>
      </c>
      <c r="K2" s="11" t="s">
        <v>12</v>
      </c>
      <c r="L2" s="11" t="s">
        <v>13</v>
      </c>
      <c r="M2" s="11" t="s">
        <v>14</v>
      </c>
      <c r="N2" s="11" t="s">
        <v>15</v>
      </c>
    </row>
    <row r="3" spans="1:14" s="17" customFormat="1" x14ac:dyDescent="0.25">
      <c r="A3" s="11">
        <v>12384</v>
      </c>
      <c r="B3" s="11" t="s">
        <v>16</v>
      </c>
      <c r="C3" s="12">
        <v>46129</v>
      </c>
      <c r="D3" s="13">
        <f t="shared" ref="D3:D9" si="0">B3-C3</f>
        <v>46</v>
      </c>
      <c r="E3" s="14">
        <f t="shared" ref="E3:E9" si="1">D3*0.22%</f>
        <v>0.10120000000000001</v>
      </c>
      <c r="F3" s="15">
        <f>J3*E3</f>
        <v>14.026320000000002</v>
      </c>
      <c r="G3" s="11" t="s">
        <v>10</v>
      </c>
      <c r="H3" s="16" t="s">
        <v>11</v>
      </c>
      <c r="I3" s="15">
        <f t="shared" ref="I3:I9" si="2">J3-F3</f>
        <v>124.57368</v>
      </c>
      <c r="J3" s="15">
        <v>138.6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s="17" customFormat="1" x14ac:dyDescent="0.25">
      <c r="A4" s="11">
        <v>12384</v>
      </c>
      <c r="B4" s="11" t="s">
        <v>17</v>
      </c>
      <c r="C4" s="12">
        <v>46129</v>
      </c>
      <c r="D4" s="13">
        <f t="shared" si="0"/>
        <v>75</v>
      </c>
      <c r="E4" s="14">
        <f t="shared" si="1"/>
        <v>0.16500000000000001</v>
      </c>
      <c r="F4" s="15">
        <f>J4*E4</f>
        <v>22.869</v>
      </c>
      <c r="G4" s="11" t="s">
        <v>10</v>
      </c>
      <c r="H4" s="16" t="s">
        <v>11</v>
      </c>
      <c r="I4" s="15">
        <f t="shared" si="2"/>
        <v>115.73099999999999</v>
      </c>
      <c r="J4" s="15">
        <v>138.6</v>
      </c>
      <c r="K4" s="11" t="s">
        <v>12</v>
      </c>
      <c r="L4" s="11" t="s">
        <v>13</v>
      </c>
      <c r="M4" s="11" t="s">
        <v>14</v>
      </c>
      <c r="N4" s="11" t="s">
        <v>15</v>
      </c>
    </row>
    <row r="5" spans="1:14" s="17" customFormat="1" x14ac:dyDescent="0.25">
      <c r="A5" s="11">
        <v>12384</v>
      </c>
      <c r="B5" s="11" t="s">
        <v>18</v>
      </c>
      <c r="C5" s="12">
        <v>46129</v>
      </c>
      <c r="D5" s="13">
        <f t="shared" si="0"/>
        <v>108</v>
      </c>
      <c r="E5" s="14">
        <f t="shared" si="1"/>
        <v>0.23760000000000001</v>
      </c>
      <c r="F5" s="15">
        <f>J5*E5</f>
        <v>32.931359999999998</v>
      </c>
      <c r="G5" s="11" t="s">
        <v>10</v>
      </c>
      <c r="H5" s="16" t="s">
        <v>11</v>
      </c>
      <c r="I5" s="15">
        <f t="shared" si="2"/>
        <v>105.66864</v>
      </c>
      <c r="J5" s="15">
        <v>138.6</v>
      </c>
      <c r="K5" s="11" t="s">
        <v>12</v>
      </c>
      <c r="L5" s="11" t="s">
        <v>13</v>
      </c>
      <c r="M5" s="11" t="s">
        <v>14</v>
      </c>
      <c r="N5" s="11" t="s">
        <v>15</v>
      </c>
    </row>
    <row r="6" spans="1:14" s="24" customFormat="1" x14ac:dyDescent="0.25">
      <c r="A6" s="18">
        <v>12385</v>
      </c>
      <c r="B6" s="18" t="s">
        <v>9</v>
      </c>
      <c r="C6" s="19">
        <v>46129</v>
      </c>
      <c r="D6" s="20">
        <f t="shared" si="0"/>
        <v>17</v>
      </c>
      <c r="E6" s="21">
        <f t="shared" si="1"/>
        <v>3.7400000000000003E-2</v>
      </c>
      <c r="F6" s="22">
        <f>J6*E6</f>
        <v>10.719588000000002</v>
      </c>
      <c r="G6" s="18" t="s">
        <v>10</v>
      </c>
      <c r="H6" s="23" t="s">
        <v>11</v>
      </c>
      <c r="I6" s="22">
        <f t="shared" si="2"/>
        <v>275.90041200000002</v>
      </c>
      <c r="J6" s="22">
        <v>286.62</v>
      </c>
      <c r="K6" s="18" t="s">
        <v>12</v>
      </c>
      <c r="L6" s="18" t="s">
        <v>13</v>
      </c>
      <c r="M6" s="18" t="s">
        <v>14</v>
      </c>
      <c r="N6" s="18" t="s">
        <v>15</v>
      </c>
    </row>
    <row r="7" spans="1:14" s="24" customFormat="1" x14ac:dyDescent="0.25">
      <c r="A7" s="18">
        <v>12385</v>
      </c>
      <c r="B7" s="18" t="s">
        <v>16</v>
      </c>
      <c r="C7" s="19">
        <v>46129</v>
      </c>
      <c r="D7" s="20">
        <f t="shared" si="0"/>
        <v>46</v>
      </c>
      <c r="E7" s="21">
        <f t="shared" si="1"/>
        <v>0.10120000000000001</v>
      </c>
      <c r="F7" s="22">
        <f>J7*E7</f>
        <v>29.005944000000003</v>
      </c>
      <c r="G7" s="18" t="s">
        <v>10</v>
      </c>
      <c r="H7" s="23" t="s">
        <v>11</v>
      </c>
      <c r="I7" s="22">
        <f t="shared" si="2"/>
        <v>257.61405600000001</v>
      </c>
      <c r="J7" s="22">
        <v>286.62</v>
      </c>
      <c r="K7" s="18" t="s">
        <v>12</v>
      </c>
      <c r="L7" s="18" t="s">
        <v>13</v>
      </c>
      <c r="M7" s="18" t="s">
        <v>14</v>
      </c>
      <c r="N7" s="18" t="s">
        <v>15</v>
      </c>
    </row>
    <row r="8" spans="1:14" s="24" customFormat="1" x14ac:dyDescent="0.25">
      <c r="A8" s="18">
        <v>12385</v>
      </c>
      <c r="B8" s="18" t="s">
        <v>17</v>
      </c>
      <c r="C8" s="19">
        <v>46129</v>
      </c>
      <c r="D8" s="20">
        <f t="shared" si="0"/>
        <v>75</v>
      </c>
      <c r="E8" s="21">
        <f t="shared" si="1"/>
        <v>0.16500000000000001</v>
      </c>
      <c r="F8" s="22">
        <f>J8*E8</f>
        <v>47.292300000000004</v>
      </c>
      <c r="G8" s="18" t="s">
        <v>10</v>
      </c>
      <c r="H8" s="23" t="s">
        <v>11</v>
      </c>
      <c r="I8" s="22">
        <f t="shared" si="2"/>
        <v>239.32769999999999</v>
      </c>
      <c r="J8" s="22">
        <v>286.62</v>
      </c>
      <c r="K8" s="18" t="s">
        <v>12</v>
      </c>
      <c r="L8" s="18" t="s">
        <v>13</v>
      </c>
      <c r="M8" s="18" t="s">
        <v>14</v>
      </c>
      <c r="N8" s="18" t="s">
        <v>15</v>
      </c>
    </row>
    <row r="9" spans="1:14" s="24" customFormat="1" x14ac:dyDescent="0.25">
      <c r="A9" s="18">
        <v>12385</v>
      </c>
      <c r="B9" s="18" t="s">
        <v>18</v>
      </c>
      <c r="C9" s="19">
        <v>46129</v>
      </c>
      <c r="D9" s="20">
        <f t="shared" si="0"/>
        <v>108</v>
      </c>
      <c r="E9" s="21">
        <f t="shared" si="1"/>
        <v>0.23760000000000001</v>
      </c>
      <c r="F9" s="22">
        <f>J9*E9</f>
        <v>68.100912000000008</v>
      </c>
      <c r="G9" s="18" t="s">
        <v>10</v>
      </c>
      <c r="H9" s="23" t="s">
        <v>11</v>
      </c>
      <c r="I9" s="22">
        <f t="shared" si="2"/>
        <v>218.51908800000001</v>
      </c>
      <c r="J9" s="22">
        <v>286.62</v>
      </c>
      <c r="K9" s="18" t="s">
        <v>12</v>
      </c>
      <c r="L9" s="18" t="s">
        <v>13</v>
      </c>
      <c r="M9" s="18" t="s">
        <v>14</v>
      </c>
      <c r="N9" s="18" t="s">
        <v>15</v>
      </c>
    </row>
    <row r="10" spans="1:14" x14ac:dyDescent="0.25">
      <c r="I10" s="10">
        <f>SUM(I2:I9)</f>
        <v>1470.7509359999999</v>
      </c>
      <c r="J10" s="2">
        <f>SUM(J2:J9)</f>
        <v>1700.8799999999997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rel_remessa_cob - 2026-04-17T20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Consig</dc:creator>
  <cp:lastModifiedBy>Central Consig</cp:lastModifiedBy>
  <dcterms:created xsi:type="dcterms:W3CDTF">2026-04-18T00:12:56Z</dcterms:created>
  <dcterms:modified xsi:type="dcterms:W3CDTF">2026-04-18T00:12:56Z</dcterms:modified>
</cp:coreProperties>
</file>