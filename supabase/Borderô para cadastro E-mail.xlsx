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filterPrivacy="1"/>
  <xr:revisionPtr revIDLastSave="0" documentId="8_{FFC48212-281F-4DDC-9D21-1BBE4558899B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Detalhado" sheetId="1" r:id="rId1"/>
    <sheet name="Cosolidado" sheetId="2" r:id="rId2"/>
    <sheet name="Cadastro E-mail" sheetId="3" r:id="rId3"/>
  </sheets>
  <calcPr calcId="191029"/>
</workbook>
</file>

<file path=xl/calcChain.xml><?xml version="1.0" encoding="utf-8"?>
<calcChain xmlns="http://schemas.openxmlformats.org/spreadsheetml/2006/main">
  <c r="J5" i="2" l="1"/>
  <c r="K6" i="1"/>
</calcChain>
</file>

<file path=xl/sharedStrings.xml><?xml version="1.0" encoding="utf-8"?>
<sst xmlns="http://schemas.openxmlformats.org/spreadsheetml/2006/main" count="167" uniqueCount="73">
  <si>
    <t>Borderô 30/05/2026 - Lote 2</t>
  </si>
  <si>
    <t>ID Venda</t>
  </si>
  <si>
    <t>Forma Recebimento</t>
  </si>
  <si>
    <t>Banco</t>
  </si>
  <si>
    <t xml:space="preserve">Agência </t>
  </si>
  <si>
    <t>DV</t>
  </si>
  <si>
    <t>OP</t>
  </si>
  <si>
    <t>Conta</t>
  </si>
  <si>
    <t>Chave PIX</t>
  </si>
  <si>
    <t>Pix</t>
  </si>
  <si>
    <t>Valor Crédito</t>
  </si>
  <si>
    <t>Obs.:</t>
  </si>
  <si>
    <t>Status PG</t>
  </si>
  <si>
    <t>Nome</t>
  </si>
  <si>
    <t>CPF</t>
  </si>
  <si>
    <t>Vendedor</t>
  </si>
  <si>
    <t>Gerado</t>
  </si>
  <si>
    <t>Cód. Operação</t>
  </si>
  <si>
    <t>Empresa Credora</t>
  </si>
  <si>
    <t>202605-009</t>
  </si>
  <si>
    <t>CONTA</t>
  </si>
  <si>
    <t>001</t>
  </si>
  <si>
    <t>1204</t>
  </si>
  <si>
    <t>2</t>
  </si>
  <si>
    <t/>
  </si>
  <si>
    <t>14813</t>
  </si>
  <si>
    <t>X</t>
  </si>
  <si>
    <t>JANE BATISTA LIMA DE MORAES</t>
  </si>
  <si>
    <t>187.127.198-38</t>
  </si>
  <si>
    <t>JOSÉ LUIZ DE MELO TENÍS</t>
  </si>
  <si>
    <t>30/05/2026, 11:07:14</t>
  </si>
  <si>
    <t>11820</t>
  </si>
  <si>
    <t>OVALE</t>
  </si>
  <si>
    <t>202605-008</t>
  </si>
  <si>
    <t xml:space="preserve">RESTAM 3 ABATIDAS 3 </t>
  </si>
  <si>
    <t>11731</t>
  </si>
  <si>
    <t>202605-007</t>
  </si>
  <si>
    <t>ALAN DA SILVA ARAUJO</t>
  </si>
  <si>
    <t>306.091.428-10</t>
  </si>
  <si>
    <t>LUIZ ALFREDO</t>
  </si>
  <si>
    <t>20289</t>
  </si>
  <si>
    <t>WUF</t>
  </si>
  <si>
    <t>Empresa Ativação</t>
  </si>
  <si>
    <t>Código Convênio</t>
  </si>
  <si>
    <t>Conta Ativação</t>
  </si>
  <si>
    <t>CONTRATO</t>
  </si>
  <si>
    <t>Data</t>
  </si>
  <si>
    <t>Órgão</t>
  </si>
  <si>
    <t>Dia Útil</t>
  </si>
  <si>
    <t>Conf</t>
  </si>
  <si>
    <t>Inicio</t>
  </si>
  <si>
    <t>Abatidas</t>
  </si>
  <si>
    <t>Corretor</t>
  </si>
  <si>
    <t>Agência</t>
  </si>
  <si>
    <t>Vr. Contrato</t>
  </si>
  <si>
    <t>Liq. Cliente</t>
  </si>
  <si>
    <t>Prazo</t>
  </si>
  <si>
    <t>Parcela</t>
  </si>
  <si>
    <t>Coeficiente</t>
  </si>
  <si>
    <t>Código WEBDEC</t>
  </si>
  <si>
    <t>SANDRA MARA VICENTE</t>
  </si>
  <si>
    <t>108.077.048-81</t>
  </si>
  <si>
    <t>TRIB REG TRAB</t>
  </si>
  <si>
    <t>BRIAN</t>
  </si>
  <si>
    <t>4X</t>
  </si>
  <si>
    <t>Carteira</t>
  </si>
  <si>
    <t>Empresa</t>
  </si>
  <si>
    <t>Somente últimos numeros do campo empresa ativação</t>
  </si>
  <si>
    <t>Dados Bancários (Débito</t>
  </si>
  <si>
    <t>Contrato (R$)</t>
  </si>
  <si>
    <t>Líquido (R$)</t>
  </si>
  <si>
    <t>Parcela (R$)</t>
  </si>
  <si>
    <t>Em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</si>
</sst>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24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rgb="FF6366F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4" fontId="3" fillId="0" borderId="1" xfId="0" applyNumberFormat="1" applyFont="1" applyBorder="1" applyAlignment="1">
      <alignment horizontal="right" vertical="center"/>
    </xf>
    <xf numFmtId="0" fontId="4" fillId="0" borderId="1" xfId="0" applyFont="1" applyBorder="1"/>
    <xf numFmtId="4" fontId="4" fillId="0" borderId="1" xfId="0" applyNumberFormat="1" applyFont="1" applyBorder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7" fillId="2" borderId="0" xfId="0" applyFont="1" applyFill="1" applyBorder="1" applyAlignment="1"/>
    <xf numFmtId="0" fontId="0" fillId="2" borderId="0" xfId="0" applyFill="1" applyBorder="1" applyAlignment="1"/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4" fontId="6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/>
    <xf numFmtId="0" fontId="7" fillId="2" borderId="2" xfId="0" applyFont="1" applyFill="1" applyBorder="1" applyAlignment="1"/>
    <xf numFmtId="17" fontId="5" fillId="2" borderId="2" xfId="0" applyNumberFormat="1" applyFont="1" applyFill="1" applyBorder="1" applyAlignment="1">
      <alignment horizontal="center"/>
    </xf>
    <xf numFmtId="0" fontId="0" fillId="2" borderId="0" xfId="0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"/>
  <sheetViews>
    <sheetView workbookViewId="0">
      <selection activeCell="M3" sqref="M3"/>
    </sheetView>
  </sheetViews>
  <sheetFormatPr defaultRowHeight="15" x14ac:dyDescent="0.25"/>
  <cols>
    <col min="1" max="1" width="15" customWidth="1"/>
    <col min="2" max="2" width="20" customWidth="1"/>
    <col min="3" max="3" width="8" customWidth="1"/>
    <col min="4" max="4" width="10" customWidth="1"/>
    <col min="5" max="5" width="5" customWidth="1"/>
    <col min="6" max="6" width="6" customWidth="1"/>
    <col min="7" max="7" width="13" customWidth="1"/>
    <col min="8" max="8" width="8" customWidth="1"/>
    <col min="9" max="9" width="13" customWidth="1"/>
    <col min="10" max="10" width="39" customWidth="1"/>
    <col min="11" max="11" width="15" customWidth="1"/>
    <col min="12" max="12" width="34" customWidth="1"/>
    <col min="13" max="13" width="12" customWidth="1"/>
    <col min="14" max="14" width="26" customWidth="1"/>
    <col min="15" max="15" width="15" customWidth="1"/>
    <col min="16" max="16" width="17" customWidth="1"/>
    <col min="17" max="17" width="21" customWidth="1"/>
    <col min="18" max="18" width="20" customWidth="1"/>
    <col min="19" max="19" width="19" customWidth="1"/>
  </cols>
  <sheetData>
    <row r="1" spans="1:19" ht="31.15" customHeight="1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0.100000000000001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5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</row>
    <row r="3" spans="1:19" ht="20.100000000000001" customHeight="1" x14ac:dyDescent="0.25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24</v>
      </c>
      <c r="J3" s="3" t="s">
        <v>24</v>
      </c>
      <c r="K3" s="4">
        <v>25.4</v>
      </c>
      <c r="L3" s="3" t="s">
        <v>24</v>
      </c>
      <c r="M3" s="2" t="s">
        <v>24</v>
      </c>
      <c r="N3" s="3" t="s">
        <v>27</v>
      </c>
      <c r="O3" s="3" t="s">
        <v>28</v>
      </c>
      <c r="P3" s="3" t="s">
        <v>29</v>
      </c>
      <c r="Q3" s="2" t="s">
        <v>30</v>
      </c>
      <c r="R3" s="2" t="s">
        <v>31</v>
      </c>
      <c r="S3" s="2" t="s">
        <v>32</v>
      </c>
    </row>
    <row r="4" spans="1:19" ht="20.100000000000001" customHeight="1" x14ac:dyDescent="0.25">
      <c r="A4" s="2" t="s">
        <v>33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25</v>
      </c>
      <c r="H4" s="2" t="s">
        <v>26</v>
      </c>
      <c r="I4" s="2" t="s">
        <v>24</v>
      </c>
      <c r="J4" s="3" t="s">
        <v>24</v>
      </c>
      <c r="K4" s="4">
        <v>125.6</v>
      </c>
      <c r="L4" s="3" t="s">
        <v>34</v>
      </c>
      <c r="M4" s="2" t="s">
        <v>24</v>
      </c>
      <c r="N4" s="3" t="s">
        <v>27</v>
      </c>
      <c r="O4" s="3" t="s">
        <v>28</v>
      </c>
      <c r="P4" s="3" t="s">
        <v>29</v>
      </c>
      <c r="Q4" s="2" t="s">
        <v>30</v>
      </c>
      <c r="R4" s="2" t="s">
        <v>35</v>
      </c>
      <c r="S4" s="2" t="s">
        <v>32</v>
      </c>
    </row>
    <row r="5" spans="1:19" ht="20.100000000000001" customHeight="1" x14ac:dyDescent="0.25">
      <c r="A5" s="2" t="s">
        <v>36</v>
      </c>
      <c r="B5" s="2" t="s">
        <v>20</v>
      </c>
      <c r="C5" s="2" t="s">
        <v>24</v>
      </c>
      <c r="D5" s="2" t="s">
        <v>24</v>
      </c>
      <c r="E5" s="2" t="s">
        <v>24</v>
      </c>
      <c r="F5" s="2" t="s">
        <v>24</v>
      </c>
      <c r="G5" s="2" t="s">
        <v>24</v>
      </c>
      <c r="H5" s="2" t="s">
        <v>24</v>
      </c>
      <c r="I5" s="2" t="s">
        <v>24</v>
      </c>
      <c r="J5" s="3" t="s">
        <v>24</v>
      </c>
      <c r="K5" s="4">
        <v>11.26</v>
      </c>
      <c r="L5" s="3" t="s">
        <v>24</v>
      </c>
      <c r="M5" s="2" t="s">
        <v>24</v>
      </c>
      <c r="N5" s="3" t="s">
        <v>37</v>
      </c>
      <c r="O5" s="3" t="s">
        <v>38</v>
      </c>
      <c r="P5" s="3" t="s">
        <v>39</v>
      </c>
      <c r="Q5" s="2" t="s">
        <v>30</v>
      </c>
      <c r="R5" s="2" t="s">
        <v>40</v>
      </c>
      <c r="S5" s="2" t="s">
        <v>41</v>
      </c>
    </row>
    <row r="6" spans="1:19" ht="20.100000000000001" customHeight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6">
        <f>SUM(K3:K5)</f>
        <v>162.26</v>
      </c>
    </row>
  </sheetData>
  <mergeCells count="1">
    <mergeCell ref="A1:S1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topLeftCell="E1" workbookViewId="0">
      <selection activeCell="J21" sqref="J21"/>
    </sheetView>
  </sheetViews>
  <sheetFormatPr defaultRowHeight="15" x14ac:dyDescent="0.25"/>
  <cols>
    <col min="1" max="1" width="20" customWidth="1"/>
    <col min="2" max="2" width="8" customWidth="1"/>
    <col min="3" max="3" width="10" customWidth="1"/>
    <col min="4" max="4" width="5" customWidth="1"/>
    <col min="5" max="5" width="6" customWidth="1"/>
    <col min="6" max="6" width="13" customWidth="1"/>
    <col min="7" max="7" width="8" customWidth="1"/>
    <col min="8" max="8" width="13" customWidth="1"/>
    <col min="9" max="9" width="39" customWidth="1"/>
    <col min="10" max="10" width="15" customWidth="1"/>
    <col min="11" max="11" width="34" customWidth="1"/>
    <col min="12" max="12" width="12" customWidth="1"/>
    <col min="13" max="13" width="26" customWidth="1"/>
    <col min="14" max="14" width="15" customWidth="1"/>
    <col min="15" max="15" width="17" customWidth="1"/>
    <col min="16" max="16" width="21" customWidth="1"/>
  </cols>
  <sheetData>
    <row r="1" spans="1:16" ht="31.15" customHeight="1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0.100000000000001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5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</row>
    <row r="3" spans="1:16" ht="20.100000000000001" customHeight="1" x14ac:dyDescent="0.25">
      <c r="A3" s="2" t="s">
        <v>20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24</v>
      </c>
      <c r="I3" s="3" t="s">
        <v>24</v>
      </c>
      <c r="J3" s="4">
        <v>151</v>
      </c>
      <c r="K3" s="3" t="s">
        <v>34</v>
      </c>
      <c r="L3" s="2" t="s">
        <v>24</v>
      </c>
      <c r="M3" s="3" t="s">
        <v>27</v>
      </c>
      <c r="N3" s="3" t="s">
        <v>28</v>
      </c>
      <c r="O3" s="3" t="s">
        <v>29</v>
      </c>
      <c r="P3" s="2" t="s">
        <v>30</v>
      </c>
    </row>
    <row r="4" spans="1:16" ht="20.100000000000001" customHeight="1" x14ac:dyDescent="0.25">
      <c r="A4" s="2" t="s">
        <v>20</v>
      </c>
      <c r="B4" s="2" t="s">
        <v>24</v>
      </c>
      <c r="C4" s="2" t="s">
        <v>24</v>
      </c>
      <c r="D4" s="2" t="s">
        <v>24</v>
      </c>
      <c r="E4" s="2" t="s">
        <v>24</v>
      </c>
      <c r="F4" s="2" t="s">
        <v>24</v>
      </c>
      <c r="G4" s="2" t="s">
        <v>24</v>
      </c>
      <c r="H4" s="2" t="s">
        <v>24</v>
      </c>
      <c r="I4" s="3" t="s">
        <v>24</v>
      </c>
      <c r="J4" s="4">
        <v>11.26</v>
      </c>
      <c r="K4" s="3" t="s">
        <v>24</v>
      </c>
      <c r="L4" s="2" t="s">
        <v>24</v>
      </c>
      <c r="M4" s="3" t="s">
        <v>37</v>
      </c>
      <c r="N4" s="3" t="s">
        <v>38</v>
      </c>
      <c r="O4" s="3" t="s">
        <v>39</v>
      </c>
      <c r="P4" s="2" t="s">
        <v>30</v>
      </c>
    </row>
    <row r="5" spans="1:16" ht="20.100000000000001" customHeight="1" x14ac:dyDescent="0.25">
      <c r="A5" s="5"/>
      <c r="B5" s="5"/>
      <c r="C5" s="5"/>
      <c r="D5" s="5"/>
      <c r="E5" s="5"/>
      <c r="F5" s="5"/>
      <c r="G5" s="5"/>
      <c r="H5" s="5"/>
      <c r="I5" s="5"/>
      <c r="J5" s="6">
        <f>SUM(J3:J4)</f>
        <v>162.26</v>
      </c>
    </row>
  </sheetData>
  <mergeCells count="1">
    <mergeCell ref="A1:P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D5A4-557F-4019-99B5-BF42B12D36C0}">
  <dimension ref="A1:AG3"/>
  <sheetViews>
    <sheetView tabSelected="1" workbookViewId="0">
      <selection activeCell="A3" sqref="A3"/>
    </sheetView>
  </sheetViews>
  <sheetFormatPr defaultColWidth="6.28515625" defaultRowHeight="15" x14ac:dyDescent="0.25"/>
  <cols>
    <col min="1" max="1" width="16.7109375" style="9" bestFit="1" customWidth="1"/>
    <col min="2" max="2" width="16.140625" style="9" bestFit="1" customWidth="1"/>
    <col min="3" max="3" width="14.28515625" style="9" bestFit="1" customWidth="1"/>
    <col min="4" max="4" width="10.85546875" style="9" bestFit="1" customWidth="1"/>
    <col min="5" max="5" width="10.7109375" style="9" bestFit="1" customWidth="1"/>
    <col min="6" max="6" width="22.5703125" style="9" bestFit="1" customWidth="1"/>
    <col min="7" max="7" width="14" style="9" bestFit="1" customWidth="1"/>
    <col min="8" max="8" width="13.85546875" style="9" bestFit="1" customWidth="1"/>
    <col min="9" max="9" width="7.42578125" style="9" bestFit="1" customWidth="1"/>
    <col min="10" max="10" width="5.140625" style="9" bestFit="1" customWidth="1"/>
    <col min="11" max="11" width="6.7109375" style="9" bestFit="1" customWidth="1"/>
    <col min="12" max="12" width="5.140625" style="9" bestFit="1" customWidth="1"/>
    <col min="13" max="13" width="8.7109375" style="9" bestFit="1" customWidth="1"/>
    <col min="14" max="14" width="5.140625" style="9" bestFit="1" customWidth="1"/>
    <col min="15" max="15" width="9.85546875" style="9" bestFit="1" customWidth="1"/>
    <col min="16" max="16" width="8" style="9" bestFit="1" customWidth="1"/>
    <col min="17" max="17" width="6.28515625" style="9"/>
    <col min="18" max="18" width="8" style="9" bestFit="1" customWidth="1"/>
    <col min="19" max="20" width="3.5703125" style="9" bestFit="1" customWidth="1"/>
    <col min="21" max="21" width="10" style="9" bestFit="1" customWidth="1"/>
    <col min="22" max="22" width="3.5703125" style="9" bestFit="1" customWidth="1"/>
    <col min="23" max="23" width="11.7109375" style="9" bestFit="1" customWidth="1"/>
    <col min="24" max="24" width="11" style="9" bestFit="1" customWidth="1"/>
    <col min="25" max="25" width="5.85546875" style="9" bestFit="1" customWidth="1"/>
    <col min="26" max="26" width="7.42578125" style="9" bestFit="1" customWidth="1"/>
    <col min="27" max="27" width="11.28515625" style="9" bestFit="1" customWidth="1"/>
    <col min="28" max="28" width="15.140625" style="9" bestFit="1" customWidth="1"/>
    <col min="29" max="16384" width="6.28515625" style="9"/>
  </cols>
  <sheetData>
    <row r="1" spans="1:33" x14ac:dyDescent="0.25">
      <c r="A1" s="10" t="s">
        <v>42</v>
      </c>
      <c r="B1" s="10" t="s">
        <v>43</v>
      </c>
      <c r="C1" s="10" t="s">
        <v>44</v>
      </c>
      <c r="D1" s="10" t="s">
        <v>45</v>
      </c>
      <c r="E1" s="10" t="s">
        <v>46</v>
      </c>
      <c r="F1" s="10" t="s">
        <v>13</v>
      </c>
      <c r="G1" s="10" t="s">
        <v>14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49</v>
      </c>
      <c r="M1" s="10" t="s">
        <v>51</v>
      </c>
      <c r="N1" s="10" t="s">
        <v>49</v>
      </c>
      <c r="O1" s="10" t="s">
        <v>15</v>
      </c>
      <c r="P1" s="10" t="s">
        <v>52</v>
      </c>
      <c r="Q1" s="10" t="s">
        <v>3</v>
      </c>
      <c r="R1" s="10" t="s">
        <v>53</v>
      </c>
      <c r="S1" s="10" t="s">
        <v>5</v>
      </c>
      <c r="T1" s="10" t="s">
        <v>6</v>
      </c>
      <c r="U1" s="10" t="s">
        <v>7</v>
      </c>
      <c r="V1" s="10" t="s">
        <v>5</v>
      </c>
      <c r="W1" s="10" t="s">
        <v>54</v>
      </c>
      <c r="X1" s="10" t="s">
        <v>55</v>
      </c>
      <c r="Y1" s="11" t="s">
        <v>56</v>
      </c>
      <c r="Z1" s="11" t="s">
        <v>57</v>
      </c>
      <c r="AA1" s="11" t="s">
        <v>58</v>
      </c>
      <c r="AB1" s="11" t="s">
        <v>59</v>
      </c>
      <c r="AC1" s="8"/>
      <c r="AD1" s="8"/>
      <c r="AE1" s="8"/>
      <c r="AF1" s="8"/>
      <c r="AG1" s="8"/>
    </row>
    <row r="2" spans="1:33" x14ac:dyDescent="0.25">
      <c r="A2" s="11" t="s">
        <v>32</v>
      </c>
      <c r="B2" s="11">
        <v>10459</v>
      </c>
      <c r="C2" s="11">
        <v>26</v>
      </c>
      <c r="D2" s="11">
        <v>11878</v>
      </c>
      <c r="E2" s="12">
        <v>46172</v>
      </c>
      <c r="F2" s="13" t="s">
        <v>60</v>
      </c>
      <c r="G2" s="11" t="s">
        <v>61</v>
      </c>
      <c r="H2" s="11" t="s">
        <v>62</v>
      </c>
      <c r="I2" s="11">
        <v>21</v>
      </c>
      <c r="J2" s="14"/>
      <c r="K2" s="15">
        <v>46174</v>
      </c>
      <c r="L2" s="14"/>
      <c r="M2" s="11">
        <v>1</v>
      </c>
      <c r="N2" s="14"/>
      <c r="O2" s="14"/>
      <c r="P2" s="11" t="s">
        <v>63</v>
      </c>
      <c r="Q2" s="11">
        <v>104</v>
      </c>
      <c r="R2" s="11">
        <v>4056</v>
      </c>
      <c r="S2" s="14"/>
      <c r="T2" s="14"/>
      <c r="U2" s="11">
        <v>589284685</v>
      </c>
      <c r="V2" s="11">
        <v>3</v>
      </c>
      <c r="W2" s="11">
        <v>300</v>
      </c>
      <c r="X2" s="11">
        <v>186.6</v>
      </c>
      <c r="Y2" s="11" t="s">
        <v>64</v>
      </c>
      <c r="Z2" s="11">
        <v>113.4</v>
      </c>
      <c r="AA2" s="11">
        <v>0.378</v>
      </c>
      <c r="AB2" s="11">
        <v>71942</v>
      </c>
    </row>
    <row r="3" spans="1:33" s="16" customFormat="1" ht="73.5" customHeight="1" x14ac:dyDescent="0.25">
      <c r="B3" s="16" t="s">
        <v>67</v>
      </c>
      <c r="H3" s="16" t="s">
        <v>66</v>
      </c>
      <c r="J3" s="16" t="s">
        <v>72</v>
      </c>
      <c r="L3" s="16" t="s">
        <v>72</v>
      </c>
      <c r="N3" s="16" t="s">
        <v>72</v>
      </c>
      <c r="P3" s="16" t="s">
        <v>65</v>
      </c>
      <c r="Q3" s="17" t="s">
        <v>68</v>
      </c>
      <c r="R3" s="17"/>
      <c r="S3" s="17"/>
      <c r="T3" s="17"/>
      <c r="U3" s="17"/>
      <c r="V3" s="17"/>
      <c r="W3" s="16" t="s">
        <v>69</v>
      </c>
      <c r="X3" s="16" t="s">
        <v>70</v>
      </c>
      <c r="Z3" s="16" t="s">
        <v>71</v>
      </c>
      <c r="AA3" s="16" t="s">
        <v>58</v>
      </c>
      <c r="AB3" s="16" t="s">
        <v>72</v>
      </c>
    </row>
  </sheetData>
  <mergeCells count="1">
    <mergeCell ref="Q3:V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Detalhado</vt:lpstr>
      <vt:lpstr>Cosolidado</vt:lpstr>
      <vt:lpstr>Cadastro E-mail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2026-05-30T14:07:14Z</dcterms:created>
  <dcterms:modified xsi:type="dcterms:W3CDTF">2026-05-30T15:06:50Z</dcterms:modified>
  <cp:category/>
</cp:coreProperties>
</file>