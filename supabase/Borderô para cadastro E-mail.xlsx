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filterPrivacy="1"/>
  <xr:revisionPtr revIDLastSave="0" documentId="13_ncr:1_{9CA891D7-66F2-4193-B2CD-994E9FC51BA1}" xr6:coauthVersionLast="43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lhado" sheetId="1" r:id="rId1"/>
    <sheet name="Cosolidado" sheetId="2" r:id="rId2"/>
    <sheet name="Cadastro E-mai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5" i="2" l="1"/>
  <c r="K6" i="1"/>
</calcChain>
</file>

<file path=xl/sharedStrings.xml><?xml version="1.0" encoding="utf-8"?>
<sst xmlns="http://schemas.openxmlformats.org/spreadsheetml/2006/main" count="171" uniqueCount="77">
  <si>
    <t>Borderô 30/05/2026 - Lote 2</t>
  </si>
  <si>
    <t>ID Venda</t>
  </si>
  <si>
    <t>Forma Recebimento</t>
  </si>
  <si>
    <t>Banco</t>
  </si>
  <si>
    <t xml:space="preserve">Agência </t>
  </si>
  <si>
    <t>DV</t>
  </si>
  <si>
    <t>OP</t>
  </si>
  <si>
    <t>Conta</t>
  </si>
  <si>
    <t>Chave PIX</t>
  </si>
  <si>
    <t>Pix</t>
  </si>
  <si>
    <t>Valor Crédito</t>
  </si>
  <si>
    <t>Obs.:</t>
  </si>
  <si>
    <t>Status PG</t>
  </si>
  <si>
    <t>Nome</t>
  </si>
  <si>
    <t>CPF</t>
  </si>
  <si>
    <t>Vendedor</t>
  </si>
  <si>
    <t>Gerado</t>
  </si>
  <si>
    <t>Cód. Operação</t>
  </si>
  <si>
    <t>Empresa Credora</t>
  </si>
  <si>
    <t>202605-009</t>
  </si>
  <si>
    <t>CONTA</t>
  </si>
  <si>
    <t>001</t>
  </si>
  <si>
    <t>1204</t>
  </si>
  <si>
    <t>2</t>
  </si>
  <si>
    <t/>
  </si>
  <si>
    <t>14813</t>
  </si>
  <si>
    <t>X</t>
  </si>
  <si>
    <t>JANE BATISTA LIMA DE MORAES</t>
  </si>
  <si>
    <t>187.127.198-38</t>
  </si>
  <si>
    <t>JOSÉ LUIZ DE MELO TENÍS</t>
  </si>
  <si>
    <t>30/05/2026, 11:07:14</t>
  </si>
  <si>
    <t>11820</t>
  </si>
  <si>
    <t>OVALE</t>
  </si>
  <si>
    <t>202605-008</t>
  </si>
  <si>
    <t xml:space="preserve">RESTAM 3 ABATIDAS 3 </t>
  </si>
  <si>
    <t>11731</t>
  </si>
  <si>
    <t>202605-007</t>
  </si>
  <si>
    <t>ALAN DA SILVA ARAUJO</t>
  </si>
  <si>
    <t>306.091.428-10</t>
  </si>
  <si>
    <t>LUIZ ALFREDO</t>
  </si>
  <si>
    <t>20289</t>
  </si>
  <si>
    <t>WUF</t>
  </si>
  <si>
    <t>Empresa Ativação</t>
  </si>
  <si>
    <t>Código Convênio</t>
  </si>
  <si>
    <t>Conta Ativação</t>
  </si>
  <si>
    <t>CONTRATO</t>
  </si>
  <si>
    <t>Data</t>
  </si>
  <si>
    <t>Órgão</t>
  </si>
  <si>
    <t>Dia Útil</t>
  </si>
  <si>
    <t>Conf</t>
  </si>
  <si>
    <t>Inicio</t>
  </si>
  <si>
    <t>Abatidas</t>
  </si>
  <si>
    <t>Corretor</t>
  </si>
  <si>
    <t>Agência</t>
  </si>
  <si>
    <t>Vr. Contrato</t>
  </si>
  <si>
    <t>Liq. Cliente</t>
  </si>
  <si>
    <t>Prazo</t>
  </si>
  <si>
    <t>Parcela</t>
  </si>
  <si>
    <t>Coeficiente</t>
  </si>
  <si>
    <t>Código WEBDEC</t>
  </si>
  <si>
    <t>SANDRA MARA VICENTE</t>
  </si>
  <si>
    <t>108.077.048-81</t>
  </si>
  <si>
    <t>TRIB REG TRAB</t>
  </si>
  <si>
    <t>BRIAN</t>
  </si>
  <si>
    <t>4X</t>
  </si>
  <si>
    <t>Carteira</t>
  </si>
  <si>
    <t>Somente últimos numeros do campo empresa ativação</t>
  </si>
  <si>
    <t>Dados Bancários (Débito</t>
  </si>
  <si>
    <t>Contrato (R$)</t>
  </si>
  <si>
    <t>Líquido (R$)</t>
  </si>
  <si>
    <t>Parcela (R$)</t>
  </si>
  <si>
    <t>Em branco</t>
  </si>
  <si>
    <t>Restam</t>
  </si>
  <si>
    <t>Total de Parcelas tela vendas</t>
  </si>
  <si>
    <t>Selecionadas tela vendas</t>
  </si>
  <si>
    <t>Deve ser nesse formato Mês / Ano</t>
  </si>
  <si>
    <t>Campo Empresa da tela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</si>
</sst>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rgb="FF6366F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4" fontId="4" fillId="0" borderId="1" xfId="0" applyNumberFormat="1" applyFont="1" applyBorder="1" applyAlignment="1">
      <alignment horizontal="right" vertical="center"/>
    </xf>
    <xf numFmtId="0" fontId="7" fillId="2" borderId="0" xfId="0" applyFont="1" applyFill="1"/>
    <xf numFmtId="0" fontId="0" fillId="2" borderId="0" xfId="0" applyFill="1"/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0" fontId="6" fillId="2" borderId="2" xfId="0" applyFont="1" applyFill="1" applyBorder="1"/>
    <xf numFmtId="0" fontId="7" fillId="2" borderId="2" xfId="0" applyFont="1" applyFill="1" applyBorder="1"/>
    <xf numFmtId="17" fontId="5" fillId="2" borderId="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17" fontId="5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workbookViewId="0">
      <selection activeCell="M3" sqref="M3"/>
    </sheetView>
  </sheetViews>
  <sheetFormatPr defaultRowHeight="14.4" x14ac:dyDescent="0.3"/>
  <cols>
    <col min="1" max="1" width="15" customWidth="1"/>
    <col min="2" max="2" width="20" customWidth="1"/>
    <col min="3" max="3" width="8" customWidth="1"/>
    <col min="4" max="4" width="10" customWidth="1"/>
    <col min="5" max="5" width="5" customWidth="1"/>
    <col min="6" max="6" width="6" customWidth="1"/>
    <col min="7" max="7" width="13" customWidth="1"/>
    <col min="8" max="8" width="8" customWidth="1"/>
    <col min="9" max="9" width="13" customWidth="1"/>
    <col min="10" max="10" width="39" customWidth="1"/>
    <col min="11" max="11" width="15" customWidth="1"/>
    <col min="12" max="12" width="34" customWidth="1"/>
    <col min="13" max="13" width="12" customWidth="1"/>
    <col min="14" max="14" width="26" customWidth="1"/>
    <col min="15" max="15" width="15" customWidth="1"/>
    <col min="16" max="16" width="17" customWidth="1"/>
    <col min="17" max="17" width="21" customWidth="1"/>
    <col min="18" max="18" width="20" customWidth="1"/>
    <col min="19" max="19" width="19" customWidth="1"/>
  </cols>
  <sheetData>
    <row r="1" spans="1:19" ht="31.2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20.100000000000001" customHeight="1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24</v>
      </c>
      <c r="J3" s="3" t="s">
        <v>24</v>
      </c>
      <c r="K3" s="4">
        <v>25.4</v>
      </c>
      <c r="L3" s="3" t="s">
        <v>24</v>
      </c>
      <c r="M3" s="2" t="s">
        <v>24</v>
      </c>
      <c r="N3" s="3" t="s">
        <v>27</v>
      </c>
      <c r="O3" s="3" t="s">
        <v>28</v>
      </c>
      <c r="P3" s="3" t="s">
        <v>29</v>
      </c>
      <c r="Q3" s="2" t="s">
        <v>30</v>
      </c>
      <c r="R3" s="2" t="s">
        <v>31</v>
      </c>
      <c r="S3" s="2" t="s">
        <v>32</v>
      </c>
    </row>
    <row r="4" spans="1:19" ht="20.100000000000001" customHeight="1" x14ac:dyDescent="0.3">
      <c r="A4" s="2" t="s">
        <v>33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24</v>
      </c>
      <c r="J4" s="3" t="s">
        <v>24</v>
      </c>
      <c r="K4" s="4">
        <v>125.6</v>
      </c>
      <c r="L4" s="3" t="s">
        <v>34</v>
      </c>
      <c r="M4" s="2" t="s">
        <v>24</v>
      </c>
      <c r="N4" s="3" t="s">
        <v>27</v>
      </c>
      <c r="O4" s="3" t="s">
        <v>28</v>
      </c>
      <c r="P4" s="3" t="s">
        <v>29</v>
      </c>
      <c r="Q4" s="2" t="s">
        <v>30</v>
      </c>
      <c r="R4" s="2" t="s">
        <v>35</v>
      </c>
      <c r="S4" s="2" t="s">
        <v>32</v>
      </c>
    </row>
    <row r="5" spans="1:19" ht="20.100000000000001" customHeight="1" x14ac:dyDescent="0.3">
      <c r="A5" s="2" t="s">
        <v>36</v>
      </c>
      <c r="B5" s="2" t="s">
        <v>20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3" t="s">
        <v>24</v>
      </c>
      <c r="K5" s="4">
        <v>11.26</v>
      </c>
      <c r="L5" s="3" t="s">
        <v>24</v>
      </c>
      <c r="M5" s="2" t="s">
        <v>24</v>
      </c>
      <c r="N5" s="3" t="s">
        <v>37</v>
      </c>
      <c r="O5" s="3" t="s">
        <v>38</v>
      </c>
      <c r="P5" s="3" t="s">
        <v>39</v>
      </c>
      <c r="Q5" s="2" t="s">
        <v>30</v>
      </c>
      <c r="R5" s="2" t="s">
        <v>40</v>
      </c>
      <c r="S5" s="2" t="s">
        <v>41</v>
      </c>
    </row>
    <row r="6" spans="1:19" ht="20.10000000000000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6">
        <f>SUM(K3:K5)</f>
        <v>162.26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opLeftCell="E1" workbookViewId="0">
      <selection activeCell="J21" sqref="J21"/>
    </sheetView>
  </sheetViews>
  <sheetFormatPr defaultRowHeight="14.4" x14ac:dyDescent="0.3"/>
  <cols>
    <col min="1" max="1" width="20" customWidth="1"/>
    <col min="2" max="2" width="8" customWidth="1"/>
    <col min="3" max="3" width="10" customWidth="1"/>
    <col min="4" max="4" width="5" customWidth="1"/>
    <col min="5" max="5" width="6" customWidth="1"/>
    <col min="6" max="6" width="13" customWidth="1"/>
    <col min="7" max="7" width="8" customWidth="1"/>
    <col min="8" max="8" width="13" customWidth="1"/>
    <col min="9" max="9" width="39" customWidth="1"/>
    <col min="10" max="10" width="15" customWidth="1"/>
    <col min="11" max="11" width="34" customWidth="1"/>
    <col min="12" max="12" width="12" customWidth="1"/>
    <col min="13" max="13" width="26" customWidth="1"/>
    <col min="14" max="14" width="15" customWidth="1"/>
    <col min="15" max="15" width="17" customWidth="1"/>
    <col min="16" max="16" width="21" customWidth="1"/>
  </cols>
  <sheetData>
    <row r="1" spans="1:16" ht="31.2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20.100000000000001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5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20.100000000000001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24</v>
      </c>
      <c r="I3" s="3" t="s">
        <v>24</v>
      </c>
      <c r="J3" s="4">
        <v>151</v>
      </c>
      <c r="K3" s="3" t="s">
        <v>34</v>
      </c>
      <c r="L3" s="2" t="s">
        <v>24</v>
      </c>
      <c r="M3" s="3" t="s">
        <v>27</v>
      </c>
      <c r="N3" s="3" t="s">
        <v>28</v>
      </c>
      <c r="O3" s="3" t="s">
        <v>29</v>
      </c>
      <c r="P3" s="2" t="s">
        <v>30</v>
      </c>
    </row>
    <row r="4" spans="1:16" ht="20.100000000000001" customHeight="1" x14ac:dyDescent="0.3">
      <c r="A4" s="2" t="s">
        <v>20</v>
      </c>
      <c r="B4" s="2" t="s">
        <v>24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3" t="s">
        <v>24</v>
      </c>
      <c r="J4" s="4">
        <v>11.26</v>
      </c>
      <c r="K4" s="3" t="s">
        <v>24</v>
      </c>
      <c r="L4" s="2" t="s">
        <v>24</v>
      </c>
      <c r="M4" s="3" t="s">
        <v>37</v>
      </c>
      <c r="N4" s="3" t="s">
        <v>38</v>
      </c>
      <c r="O4" s="3" t="s">
        <v>39</v>
      </c>
      <c r="P4" s="2" t="s">
        <v>30</v>
      </c>
    </row>
    <row r="5" spans="1:16" ht="20.100000000000001" customHeight="1" x14ac:dyDescent="0.3">
      <c r="A5" s="5"/>
      <c r="B5" s="5"/>
      <c r="C5" s="5"/>
      <c r="D5" s="5"/>
      <c r="E5" s="5"/>
      <c r="F5" s="5"/>
      <c r="G5" s="5"/>
      <c r="H5" s="5"/>
      <c r="I5" s="5"/>
      <c r="J5" s="6">
        <f>SUM(J3:J4)</f>
        <v>162.26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D5A4-557F-4019-99B5-BF42B12D36C0}">
  <dimension ref="A1:AH3"/>
  <sheetViews>
    <sheetView tabSelected="1" workbookViewId="0">
      <selection activeCell="H3" sqref="H3"/>
    </sheetView>
  </sheetViews>
  <sheetFormatPr defaultColWidth="6.33203125" defaultRowHeight="14.4" x14ac:dyDescent="0.3"/>
  <cols>
    <col min="1" max="1" width="16.6640625" style="8" bestFit="1" customWidth="1"/>
    <col min="2" max="2" width="16.109375" style="8" bestFit="1" customWidth="1"/>
    <col min="3" max="3" width="14.33203125" style="8" bestFit="1" customWidth="1"/>
    <col min="4" max="4" width="10.88671875" style="8" bestFit="1" customWidth="1"/>
    <col min="5" max="5" width="10.6640625" style="8" bestFit="1" customWidth="1"/>
    <col min="6" max="6" width="22.5546875" style="8" bestFit="1" customWidth="1"/>
    <col min="7" max="7" width="14" style="8" bestFit="1" customWidth="1"/>
    <col min="8" max="8" width="13.88671875" style="8" bestFit="1" customWidth="1"/>
    <col min="9" max="9" width="7.44140625" style="8" bestFit="1" customWidth="1"/>
    <col min="10" max="10" width="5.109375" style="8" bestFit="1" customWidth="1"/>
    <col min="11" max="11" width="19.44140625" style="8" customWidth="1"/>
    <col min="12" max="12" width="5.109375" style="8" bestFit="1" customWidth="1"/>
    <col min="13" max="13" width="12" style="8" customWidth="1"/>
    <col min="14" max="14" width="8.6640625" style="8" bestFit="1" customWidth="1"/>
    <col min="15" max="15" width="5.109375" style="8" bestFit="1" customWidth="1"/>
    <col min="16" max="16" width="9.88671875" style="8" bestFit="1" customWidth="1"/>
    <col min="17" max="17" width="8" style="8" bestFit="1" customWidth="1"/>
    <col min="18" max="18" width="6.33203125" style="8"/>
    <col min="19" max="19" width="8" style="8" bestFit="1" customWidth="1"/>
    <col min="20" max="21" width="3.5546875" style="8" bestFit="1" customWidth="1"/>
    <col min="22" max="22" width="10" style="8" bestFit="1" customWidth="1"/>
    <col min="23" max="23" width="3.5546875" style="8" bestFit="1" customWidth="1"/>
    <col min="24" max="24" width="11.6640625" style="8" bestFit="1" customWidth="1"/>
    <col min="25" max="25" width="11" style="8" bestFit="1" customWidth="1"/>
    <col min="26" max="26" width="5.88671875" style="8" bestFit="1" customWidth="1"/>
    <col min="27" max="27" width="7.44140625" style="8" bestFit="1" customWidth="1"/>
    <col min="28" max="28" width="11.33203125" style="8" bestFit="1" customWidth="1"/>
    <col min="29" max="29" width="15.109375" style="8" bestFit="1" customWidth="1"/>
    <col min="30" max="16384" width="6.33203125" style="8"/>
  </cols>
  <sheetData>
    <row r="1" spans="1:34" x14ac:dyDescent="0.3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13</v>
      </c>
      <c r="G1" s="9" t="s">
        <v>14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49</v>
      </c>
      <c r="M1" s="9" t="s">
        <v>72</v>
      </c>
      <c r="N1" s="9" t="s">
        <v>51</v>
      </c>
      <c r="O1" s="9" t="s">
        <v>49</v>
      </c>
      <c r="P1" s="9" t="s">
        <v>15</v>
      </c>
      <c r="Q1" s="9" t="s">
        <v>52</v>
      </c>
      <c r="R1" s="9" t="s">
        <v>3</v>
      </c>
      <c r="S1" s="9" t="s">
        <v>53</v>
      </c>
      <c r="T1" s="9" t="s">
        <v>5</v>
      </c>
      <c r="U1" s="9" t="s">
        <v>6</v>
      </c>
      <c r="V1" s="9" t="s">
        <v>7</v>
      </c>
      <c r="W1" s="9" t="s">
        <v>5</v>
      </c>
      <c r="X1" s="9" t="s">
        <v>54</v>
      </c>
      <c r="Y1" s="9" t="s">
        <v>55</v>
      </c>
      <c r="Z1" s="10" t="s">
        <v>56</v>
      </c>
      <c r="AA1" s="10" t="s">
        <v>57</v>
      </c>
      <c r="AB1" s="10" t="s">
        <v>58</v>
      </c>
      <c r="AC1" s="10" t="s">
        <v>59</v>
      </c>
      <c r="AD1" s="7"/>
      <c r="AE1" s="7"/>
      <c r="AF1" s="7"/>
      <c r="AG1" s="7"/>
      <c r="AH1" s="7"/>
    </row>
    <row r="2" spans="1:34" x14ac:dyDescent="0.3">
      <c r="A2" s="10" t="s">
        <v>32</v>
      </c>
      <c r="B2" s="10">
        <v>10459</v>
      </c>
      <c r="C2" s="10">
        <v>26</v>
      </c>
      <c r="D2" s="10">
        <v>11878</v>
      </c>
      <c r="E2" s="11">
        <v>46172</v>
      </c>
      <c r="F2" s="12" t="s">
        <v>60</v>
      </c>
      <c r="G2" s="10" t="s">
        <v>61</v>
      </c>
      <c r="H2" s="10" t="s">
        <v>62</v>
      </c>
      <c r="I2" s="10">
        <v>21</v>
      </c>
      <c r="J2" s="13"/>
      <c r="K2" s="14">
        <v>46174</v>
      </c>
      <c r="L2" s="13"/>
      <c r="M2" s="13"/>
      <c r="N2" s="10">
        <v>1</v>
      </c>
      <c r="O2" s="13"/>
      <c r="P2" s="13"/>
      <c r="Q2" s="10" t="s">
        <v>63</v>
      </c>
      <c r="R2" s="10">
        <v>104</v>
      </c>
      <c r="S2" s="10">
        <v>4056</v>
      </c>
      <c r="T2" s="13"/>
      <c r="U2" s="13"/>
      <c r="V2" s="10">
        <v>589284685</v>
      </c>
      <c r="W2" s="10">
        <v>3</v>
      </c>
      <c r="X2" s="10">
        <v>300</v>
      </c>
      <c r="Y2" s="10">
        <v>186.6</v>
      </c>
      <c r="Z2" s="10" t="s">
        <v>64</v>
      </c>
      <c r="AA2" s="10">
        <v>113.4</v>
      </c>
      <c r="AB2" s="10">
        <v>0.378</v>
      </c>
      <c r="AC2" s="10">
        <v>71942</v>
      </c>
    </row>
    <row r="3" spans="1:34" s="15" customFormat="1" ht="73.5" customHeight="1" x14ac:dyDescent="0.3">
      <c r="B3" s="15" t="s">
        <v>66</v>
      </c>
      <c r="H3" s="16" t="s">
        <v>76</v>
      </c>
      <c r="J3" s="15" t="s">
        <v>71</v>
      </c>
      <c r="K3" s="19" t="s">
        <v>75</v>
      </c>
      <c r="L3" s="15" t="s">
        <v>71</v>
      </c>
      <c r="M3" s="16" t="s">
        <v>73</v>
      </c>
      <c r="N3" s="16" t="s">
        <v>74</v>
      </c>
      <c r="O3" s="15" t="s">
        <v>71</v>
      </c>
      <c r="Q3" s="15" t="s">
        <v>65</v>
      </c>
      <c r="R3" s="18" t="s">
        <v>67</v>
      </c>
      <c r="S3" s="18"/>
      <c r="T3" s="18"/>
      <c r="U3" s="18"/>
      <c r="V3" s="18"/>
      <c r="W3" s="18"/>
      <c r="X3" s="15" t="s">
        <v>68</v>
      </c>
      <c r="Y3" s="15" t="s">
        <v>69</v>
      </c>
      <c r="AA3" s="15" t="s">
        <v>70</v>
      </c>
      <c r="AB3" s="15" t="s">
        <v>58</v>
      </c>
      <c r="AC3" s="15" t="s">
        <v>71</v>
      </c>
    </row>
  </sheetData>
  <mergeCells count="1">
    <mergeCell ref="R3:W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Detalhado</vt:lpstr>
      <vt:lpstr>Cosolidado</vt:lpstr>
      <vt:lpstr>Cadastro E-mail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2026-05-30T14:07:14Z</dcterms:created>
  <dcterms:modified xsi:type="dcterms:W3CDTF">2026-06-12T16:37:13Z</dcterms:modified>
  <cp:category/>
</cp:coreProperties>
</file>